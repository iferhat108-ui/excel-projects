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ce\Downloads\"/>
    </mc:Choice>
  </mc:AlternateContent>
  <xr:revisionPtr revIDLastSave="0" documentId="13_ncr:1_{C8C065AA-DC1C-43CB-8B76-2433563CE881}" xr6:coauthVersionLast="47" xr6:coauthVersionMax="47" xr10:uidLastSave="{00000000-0000-0000-0000-000000000000}"/>
  <bookViews>
    <workbookView xWindow="-108" yWindow="-108" windowWidth="23256" windowHeight="12456" xr2:uid="{0C8109D3-603D-403F-9C36-078B042069E7}"/>
  </bookViews>
  <sheets>
    <sheet name="Personel Listesi" sheetId="2" r:id="rId1"/>
    <sheet name="Arama Motoru Penceresi" sheetId="3" r:id="rId2"/>
  </sheets>
  <definedNames>
    <definedName name="personel">'Personel Listesi'!$A$1:$E$22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 a="1"/>
  <c r="A4" i="3"/>
  <c r="B4" i="3" a="1"/>
  <c r="B4" i="3" s="1"/>
  <c r="C4" i="3" a="1"/>
  <c r="C4" i="3"/>
  <c r="D4" i="3" a="1"/>
  <c r="D4" i="3"/>
  <c r="E4" i="3" a="1"/>
  <c r="E4" i="3"/>
  <c r="A5" i="3" a="1"/>
  <c r="A5" i="3"/>
  <c r="B5" i="3" a="1"/>
  <c r="B5" i="3"/>
  <c r="C5" i="3" a="1"/>
  <c r="C5" i="3" s="1"/>
  <c r="D5" i="3" a="1"/>
  <c r="D5" i="3"/>
  <c r="E5" i="3" a="1"/>
  <c r="E5" i="3"/>
  <c r="A6" i="3" a="1"/>
  <c r="A6" i="3"/>
  <c r="B6" i="3" a="1"/>
  <c r="B6" i="3"/>
  <c r="C6" i="3" a="1"/>
  <c r="C6" i="3"/>
  <c r="D6" i="3" a="1"/>
  <c r="D6" i="3" s="1"/>
  <c r="E6" i="3" a="1"/>
  <c r="E6" i="3"/>
  <c r="B3" i="3" a="1"/>
  <c r="B3" i="3" s="1"/>
  <c r="C3" i="3" a="1"/>
  <c r="C3" i="3" s="1"/>
  <c r="D3" i="3" a="1"/>
  <c r="D3" i="3"/>
  <c r="E3" i="3" a="1"/>
  <c r="E3" i="3"/>
  <c r="A3" i="3" a="1"/>
  <c r="A3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<sst xmlns="http://schemas.openxmlformats.org/spreadsheetml/2006/main" count="131" uniqueCount="73">
  <si>
    <t>Sıra No</t>
  </si>
  <si>
    <t>Adı</t>
  </si>
  <si>
    <t>Soyadı</t>
  </si>
  <si>
    <t>Birimi</t>
  </si>
  <si>
    <t>Görevi</t>
  </si>
  <si>
    <t>İşe Başlama
Tarihi</t>
  </si>
  <si>
    <t>Cinsiyeti</t>
  </si>
  <si>
    <t>Yaşı</t>
  </si>
  <si>
    <t>Günlük Ücreti</t>
  </si>
  <si>
    <t xml:space="preserve">Ahmet </t>
  </si>
  <si>
    <t>Yavuz</t>
  </si>
  <si>
    <t>Üretim</t>
  </si>
  <si>
    <t>Montaj</t>
  </si>
  <si>
    <t>Erkek</t>
  </si>
  <si>
    <t>Aslı</t>
  </si>
  <si>
    <t>Kara</t>
  </si>
  <si>
    <t>Teknik Ofis</t>
  </si>
  <si>
    <t>Teknik Ressam</t>
  </si>
  <si>
    <t>Kadın</t>
  </si>
  <si>
    <t>Akif</t>
  </si>
  <si>
    <t>Karaca</t>
  </si>
  <si>
    <t>Satınalma</t>
  </si>
  <si>
    <t>Teklif Talep</t>
  </si>
  <si>
    <t>Ayça</t>
  </si>
  <si>
    <t>Karakuzu</t>
  </si>
  <si>
    <t>Kaynak</t>
  </si>
  <si>
    <t>Zeynep</t>
  </si>
  <si>
    <t>Yılmaz</t>
  </si>
  <si>
    <t>Sevkiyat</t>
  </si>
  <si>
    <t>Tansel</t>
  </si>
  <si>
    <t>Raporlama</t>
  </si>
  <si>
    <t>Burak</t>
  </si>
  <si>
    <t>Sarkım</t>
  </si>
  <si>
    <t>Otomasyon Sorumlusu</t>
  </si>
  <si>
    <t xml:space="preserve">Burcu </t>
  </si>
  <si>
    <t>Kasım</t>
  </si>
  <si>
    <t>Deniz</t>
  </si>
  <si>
    <t>Ahmet</t>
  </si>
  <si>
    <t>Altunkaya</t>
  </si>
  <si>
    <t>Muhasebe</t>
  </si>
  <si>
    <t>Veri Girişi</t>
  </si>
  <si>
    <t>Rıza</t>
  </si>
  <si>
    <t>Sönmez</t>
  </si>
  <si>
    <t xml:space="preserve">Yaşam </t>
  </si>
  <si>
    <t>Er</t>
  </si>
  <si>
    <t>Arif</t>
  </si>
  <si>
    <t>Sağlam</t>
  </si>
  <si>
    <t>Satış</t>
  </si>
  <si>
    <t>Tekliflendirme</t>
  </si>
  <si>
    <t xml:space="preserve">İsmail </t>
  </si>
  <si>
    <t>Tekin</t>
  </si>
  <si>
    <t>Sibel</t>
  </si>
  <si>
    <t>Karadağ</t>
  </si>
  <si>
    <t>Gülce</t>
  </si>
  <si>
    <t>Kalecikli</t>
  </si>
  <si>
    <t>Ar-Ge Sorumlusu</t>
  </si>
  <si>
    <t>Emre</t>
  </si>
  <si>
    <t>Sel</t>
  </si>
  <si>
    <t>Satınalma Sorumlusu</t>
  </si>
  <si>
    <t xml:space="preserve">Emre </t>
  </si>
  <si>
    <t>Ağmil</t>
  </si>
  <si>
    <t xml:space="preserve">Betül </t>
  </si>
  <si>
    <t>Alpaslan</t>
  </si>
  <si>
    <t xml:space="preserve">Bekir </t>
  </si>
  <si>
    <t xml:space="preserve">Emine </t>
  </si>
  <si>
    <t>Karahan</t>
  </si>
  <si>
    <t>Üretim Sorumlusu</t>
  </si>
  <si>
    <t>Sonuç</t>
  </si>
  <si>
    <t>Satır</t>
  </si>
  <si>
    <t>Arama Penceresi</t>
  </si>
  <si>
    <t>e</t>
  </si>
  <si>
    <t>a</t>
  </si>
  <si>
    <t>montaj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</si>
</sst>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5" x14ac:knownFonts="1">
    <font>
      <sz val="11"/>
      <color theme="1"/>
      <name val="Calibri"/>
      <family val="2"/>
      <charset val="162"/>
      <scheme val="minor"/>
    </font>
    <font>
      <b/>
      <sz val="12"/>
      <color theme="4" tint="-0.499984740745262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4"/>
      <color theme="4" tint="-0.499984740745262"/>
      <name val="Calibri"/>
      <family val="2"/>
      <charset val="162"/>
      <scheme val="minor"/>
    </font>
    <font>
      <sz val="14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4" fillId="2" borderId="0" xfId="1" applyFont="1" applyAlignment="1">
      <alignment horizontal="center"/>
    </xf>
  </cellXfs>
  <cellStyles count="2">
    <cellStyle name="Normal" xfId="0" builtinId="0"/>
    <cellStyle name="Vurgu2" xfId="1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1385-4E7A-4BEF-BD36-8DCF0FB3C040}">
  <dimension ref="A1:N22"/>
  <sheetViews>
    <sheetView tabSelected="1" workbookViewId="0">
      <selection activeCell="J1" sqref="J1:N1048576"/>
    </sheetView>
  </sheetViews>
  <sheetFormatPr defaultRowHeight="14.4" x14ac:dyDescent="0.3"/>
  <cols>
    <col min="1" max="1" width="7.6640625" bestFit="1" customWidth="1"/>
    <col min="4" max="4" width="9.88671875" bestFit="1" customWidth="1"/>
    <col min="5" max="5" width="20.6640625" bestFit="1" customWidth="1"/>
    <col min="6" max="6" width="10.77734375" customWidth="1"/>
    <col min="9" max="9" width="14" bestFit="1" customWidth="1"/>
    <col min="10" max="10" width="4.109375" hidden="1" customWidth="1"/>
    <col min="11" max="12" width="7.109375" hidden="1" customWidth="1"/>
    <col min="13" max="13" width="6.5546875" hidden="1" customWidth="1"/>
    <col min="14" max="14" width="5.21875" hidden="1" customWidth="1"/>
  </cols>
  <sheetData>
    <row r="1" spans="1:14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1</v>
      </c>
      <c r="K1" s="2" t="s">
        <v>2</v>
      </c>
      <c r="L1" s="2" t="s">
        <v>4</v>
      </c>
      <c r="M1" s="2" t="s">
        <v>67</v>
      </c>
      <c r="N1" s="2" t="s">
        <v>68</v>
      </c>
    </row>
    <row r="2" spans="1:14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s="4">
        <v>35829</v>
      </c>
      <c r="G2" t="s">
        <v>13</v>
      </c>
      <c r="H2">
        <v>52</v>
      </c>
      <c r="I2" s="5">
        <v>120</v>
      </c>
      <c r="J2">
        <f>IFERROR(SEARCH('Arama Motoru Penceresi'!$H$3,B2),0)</f>
        <v>4</v>
      </c>
      <c r="K2">
        <f>IFERROR(SEARCH('Arama Motoru Penceresi'!$I$3,C2),0)</f>
        <v>2</v>
      </c>
      <c r="L2">
        <f>IFERROR(SEARCH('Arama Motoru Penceresi'!$J$3,E2),0)</f>
        <v>1</v>
      </c>
      <c r="M2">
        <f>PRODUCT(J2:L2)</f>
        <v>8</v>
      </c>
      <c r="N2">
        <f>IF(M2&gt;0,ROW(),"")</f>
        <v>2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s="4">
        <v>36715</v>
      </c>
      <c r="G3" t="s">
        <v>18</v>
      </c>
      <c r="H3">
        <v>49</v>
      </c>
      <c r="I3" s="5">
        <v>115</v>
      </c>
      <c r="J3">
        <f>IFERROR(SEARCH('Arama Motoru Penceresi'!$H$3,B3),0)</f>
        <v>0</v>
      </c>
      <c r="K3">
        <f>IFERROR(SEARCH('Arama Motoru Penceresi'!$I$3,C3),0)</f>
        <v>2</v>
      </c>
      <c r="L3">
        <f>IFERROR(SEARCH('Arama Motoru Penceresi'!$J$3,E3),0)</f>
        <v>0</v>
      </c>
      <c r="M3">
        <f t="shared" ref="M3:M22" si="0">PRODUCT(J3:L3)</f>
        <v>0</v>
      </c>
      <c r="N3" t="str">
        <f t="shared" ref="N3:N22" si="1">IF(M3&gt;0,ROW(),"")</f>
        <v/>
      </c>
    </row>
    <row r="4" spans="1:14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s="4">
        <v>37876</v>
      </c>
      <c r="G4" t="s">
        <v>13</v>
      </c>
      <c r="H4">
        <v>52</v>
      </c>
      <c r="I4" s="5">
        <v>180</v>
      </c>
      <c r="J4">
        <f>IFERROR(SEARCH('Arama Motoru Penceresi'!$H$3,B4),0)</f>
        <v>0</v>
      </c>
      <c r="K4">
        <f>IFERROR(SEARCH('Arama Motoru Penceresi'!$I$3,C4),0)</f>
        <v>2</v>
      </c>
      <c r="L4">
        <f>IFERROR(SEARCH('Arama Motoru Penceresi'!$J$3,E4),0)</f>
        <v>0</v>
      </c>
      <c r="M4">
        <f t="shared" si="0"/>
        <v>0</v>
      </c>
      <c r="N4" t="str">
        <f t="shared" si="1"/>
        <v/>
      </c>
    </row>
    <row r="5" spans="1:14" x14ac:dyDescent="0.3">
      <c r="A5">
        <v>4</v>
      </c>
      <c r="B5" t="s">
        <v>23</v>
      </c>
      <c r="C5" t="s">
        <v>24</v>
      </c>
      <c r="D5" t="s">
        <v>11</v>
      </c>
      <c r="E5" t="s">
        <v>25</v>
      </c>
      <c r="F5" s="4">
        <v>38944</v>
      </c>
      <c r="G5" t="s">
        <v>18</v>
      </c>
      <c r="H5">
        <v>48</v>
      </c>
      <c r="I5" s="5">
        <v>130</v>
      </c>
      <c r="J5">
        <f>IFERROR(SEARCH('Arama Motoru Penceresi'!$H$3,B5),0)</f>
        <v>0</v>
      </c>
      <c r="K5">
        <f>IFERROR(SEARCH('Arama Motoru Penceresi'!$I$3,C5),0)</f>
        <v>2</v>
      </c>
      <c r="L5">
        <f>IFERROR(SEARCH('Arama Motoru Penceresi'!$J$3,E5),0)</f>
        <v>0</v>
      </c>
      <c r="M5">
        <f t="shared" si="0"/>
        <v>0</v>
      </c>
      <c r="N5" t="str">
        <f t="shared" si="1"/>
        <v/>
      </c>
    </row>
    <row r="6" spans="1:14" x14ac:dyDescent="0.3">
      <c r="A6">
        <v>5</v>
      </c>
      <c r="B6" t="s">
        <v>26</v>
      </c>
      <c r="C6" t="s">
        <v>27</v>
      </c>
      <c r="D6" t="s">
        <v>11</v>
      </c>
      <c r="E6" t="s">
        <v>28</v>
      </c>
      <c r="F6" s="4">
        <v>40166</v>
      </c>
      <c r="G6" t="s">
        <v>18</v>
      </c>
      <c r="H6">
        <v>45</v>
      </c>
      <c r="I6" s="5">
        <v>145</v>
      </c>
      <c r="J6">
        <f>IFERROR(SEARCH('Arama Motoru Penceresi'!$H$3,B6),0)</f>
        <v>2</v>
      </c>
      <c r="K6">
        <f>IFERROR(SEARCH('Arama Motoru Penceresi'!$I$3,C6),0)</f>
        <v>5</v>
      </c>
      <c r="L6">
        <f>IFERROR(SEARCH('Arama Motoru Penceresi'!$J$3,E6),0)</f>
        <v>0</v>
      </c>
      <c r="M6">
        <f t="shared" si="0"/>
        <v>0</v>
      </c>
      <c r="N6" t="str">
        <f t="shared" si="1"/>
        <v/>
      </c>
    </row>
    <row r="7" spans="1:14" x14ac:dyDescent="0.3">
      <c r="A7">
        <v>6</v>
      </c>
      <c r="B7" t="s">
        <v>37</v>
      </c>
      <c r="C7" t="s">
        <v>29</v>
      </c>
      <c r="D7" t="s">
        <v>21</v>
      </c>
      <c r="E7" t="s">
        <v>30</v>
      </c>
      <c r="F7" s="4">
        <v>40258</v>
      </c>
      <c r="G7" t="s">
        <v>18</v>
      </c>
      <c r="H7">
        <v>38</v>
      </c>
      <c r="I7" s="5">
        <v>178</v>
      </c>
      <c r="J7">
        <f>IFERROR(SEARCH('Arama Motoru Penceresi'!$H$3,B7),0)</f>
        <v>4</v>
      </c>
      <c r="K7">
        <f>IFERROR(SEARCH('Arama Motoru Penceresi'!$I$3,C7),0)</f>
        <v>2</v>
      </c>
      <c r="L7">
        <f>IFERROR(SEARCH('Arama Motoru Penceresi'!$J$3,E7),0)</f>
        <v>0</v>
      </c>
      <c r="M7">
        <f t="shared" si="0"/>
        <v>0</v>
      </c>
      <c r="N7" t="str">
        <f t="shared" si="1"/>
        <v/>
      </c>
    </row>
    <row r="8" spans="1:14" x14ac:dyDescent="0.3">
      <c r="A8">
        <v>7</v>
      </c>
      <c r="B8" t="s">
        <v>31</v>
      </c>
      <c r="C8" t="s">
        <v>32</v>
      </c>
      <c r="D8" t="s">
        <v>16</v>
      </c>
      <c r="E8" t="s">
        <v>33</v>
      </c>
      <c r="F8" s="4">
        <v>40409</v>
      </c>
      <c r="G8" t="s">
        <v>13</v>
      </c>
      <c r="H8">
        <v>42</v>
      </c>
      <c r="I8" s="5">
        <v>140</v>
      </c>
      <c r="J8">
        <f>IFERROR(SEARCH('Arama Motoru Penceresi'!$H$3,B8),0)</f>
        <v>0</v>
      </c>
      <c r="K8">
        <f>IFERROR(SEARCH('Arama Motoru Penceresi'!$I$3,C8),0)</f>
        <v>2</v>
      </c>
      <c r="L8">
        <f>IFERROR(SEARCH('Arama Motoru Penceresi'!$J$3,E8),0)</f>
        <v>0</v>
      </c>
      <c r="M8">
        <f t="shared" si="0"/>
        <v>0</v>
      </c>
      <c r="N8" t="str">
        <f t="shared" si="1"/>
        <v/>
      </c>
    </row>
    <row r="9" spans="1:14" x14ac:dyDescent="0.3">
      <c r="A9">
        <v>8</v>
      </c>
      <c r="B9" t="s">
        <v>34</v>
      </c>
      <c r="C9" t="s">
        <v>27</v>
      </c>
      <c r="D9" t="s">
        <v>11</v>
      </c>
      <c r="E9" t="s">
        <v>12</v>
      </c>
      <c r="F9" s="4">
        <v>40577</v>
      </c>
      <c r="G9" t="s">
        <v>18</v>
      </c>
      <c r="H9">
        <v>45</v>
      </c>
      <c r="I9" s="5">
        <v>120</v>
      </c>
      <c r="J9">
        <f>IFERROR(SEARCH('Arama Motoru Penceresi'!$H$3,B9),0)</f>
        <v>0</v>
      </c>
      <c r="K9">
        <f>IFERROR(SEARCH('Arama Motoru Penceresi'!$I$3,C9),0)</f>
        <v>5</v>
      </c>
      <c r="L9">
        <f>IFERROR(SEARCH('Arama Motoru Penceresi'!$J$3,E9),0)</f>
        <v>1</v>
      </c>
      <c r="M9">
        <f t="shared" si="0"/>
        <v>0</v>
      </c>
      <c r="N9" t="str">
        <f t="shared" si="1"/>
        <v/>
      </c>
    </row>
    <row r="10" spans="1:14" x14ac:dyDescent="0.3">
      <c r="A10">
        <v>9</v>
      </c>
      <c r="B10" t="s">
        <v>35</v>
      </c>
      <c r="C10" t="s">
        <v>36</v>
      </c>
      <c r="D10" t="s">
        <v>11</v>
      </c>
      <c r="E10" t="s">
        <v>25</v>
      </c>
      <c r="F10" s="4">
        <v>40745</v>
      </c>
      <c r="G10" t="s">
        <v>13</v>
      </c>
      <c r="H10">
        <v>32</v>
      </c>
      <c r="I10" s="5">
        <v>130</v>
      </c>
      <c r="J10">
        <f>IFERROR(SEARCH('Arama Motoru Penceresi'!$H$3,B10),0)</f>
        <v>0</v>
      </c>
      <c r="K10">
        <f>IFERROR(SEARCH('Arama Motoru Penceresi'!$I$3,C10),0)</f>
        <v>0</v>
      </c>
      <c r="L10">
        <f>IFERROR(SEARCH('Arama Motoru Penceresi'!$J$3,E10),0)</f>
        <v>0</v>
      </c>
      <c r="M10">
        <f t="shared" si="0"/>
        <v>0</v>
      </c>
      <c r="N10" t="str">
        <f t="shared" si="1"/>
        <v/>
      </c>
    </row>
    <row r="11" spans="1:14" x14ac:dyDescent="0.3">
      <c r="A11">
        <v>10</v>
      </c>
      <c r="B11" t="s">
        <v>37</v>
      </c>
      <c r="C11" t="s">
        <v>38</v>
      </c>
      <c r="D11" t="s">
        <v>39</v>
      </c>
      <c r="E11" t="s">
        <v>40</v>
      </c>
      <c r="F11" s="4">
        <v>40913</v>
      </c>
      <c r="G11" t="s">
        <v>18</v>
      </c>
      <c r="H11">
        <v>35</v>
      </c>
      <c r="I11" s="5">
        <v>125</v>
      </c>
      <c r="J11">
        <f>IFERROR(SEARCH('Arama Motoru Penceresi'!$H$3,B11),0)</f>
        <v>4</v>
      </c>
      <c r="K11">
        <f>IFERROR(SEARCH('Arama Motoru Penceresi'!$I$3,C11),0)</f>
        <v>1</v>
      </c>
      <c r="L11">
        <f>IFERROR(SEARCH('Arama Motoru Penceresi'!$J$3,E11),0)</f>
        <v>0</v>
      </c>
      <c r="M11">
        <f t="shared" si="0"/>
        <v>0</v>
      </c>
      <c r="N11" t="str">
        <f t="shared" si="1"/>
        <v/>
      </c>
    </row>
    <row r="12" spans="1:14" x14ac:dyDescent="0.3">
      <c r="A12">
        <v>11</v>
      </c>
      <c r="B12" t="s">
        <v>41</v>
      </c>
      <c r="C12" t="s">
        <v>42</v>
      </c>
      <c r="D12" t="s">
        <v>21</v>
      </c>
      <c r="E12" t="s">
        <v>22</v>
      </c>
      <c r="F12" s="4">
        <v>41081</v>
      </c>
      <c r="G12" t="s">
        <v>13</v>
      </c>
      <c r="H12">
        <v>33</v>
      </c>
      <c r="I12" s="5">
        <v>130</v>
      </c>
      <c r="J12">
        <f>IFERROR(SEARCH('Arama Motoru Penceresi'!$H$3,B12),0)</f>
        <v>0</v>
      </c>
      <c r="K12">
        <f>IFERROR(SEARCH('Arama Motoru Penceresi'!$I$3,C12),0)</f>
        <v>0</v>
      </c>
      <c r="L12">
        <f>IFERROR(SEARCH('Arama Motoru Penceresi'!$J$3,E12),0)</f>
        <v>0</v>
      </c>
      <c r="M12">
        <f t="shared" si="0"/>
        <v>0</v>
      </c>
      <c r="N12" t="str">
        <f t="shared" si="1"/>
        <v/>
      </c>
    </row>
    <row r="13" spans="1:14" x14ac:dyDescent="0.3">
      <c r="A13">
        <v>12</v>
      </c>
      <c r="B13" t="s">
        <v>43</v>
      </c>
      <c r="C13" t="s">
        <v>44</v>
      </c>
      <c r="D13" t="s">
        <v>11</v>
      </c>
      <c r="E13" t="s">
        <v>12</v>
      </c>
      <c r="F13" s="4">
        <v>41249</v>
      </c>
      <c r="G13" t="s">
        <v>18</v>
      </c>
      <c r="H13">
        <v>29</v>
      </c>
      <c r="I13" s="5">
        <v>180</v>
      </c>
      <c r="J13">
        <f>IFERROR(SEARCH('Arama Motoru Penceresi'!$H$3,B13),0)</f>
        <v>0</v>
      </c>
      <c r="K13">
        <f>IFERROR(SEARCH('Arama Motoru Penceresi'!$I$3,C13),0)</f>
        <v>0</v>
      </c>
      <c r="L13">
        <f>IFERROR(SEARCH('Arama Motoru Penceresi'!$J$3,E13),0)</f>
        <v>1</v>
      </c>
      <c r="M13">
        <f t="shared" si="0"/>
        <v>0</v>
      </c>
      <c r="N13" t="str">
        <f t="shared" si="1"/>
        <v/>
      </c>
    </row>
    <row r="14" spans="1:14" x14ac:dyDescent="0.3">
      <c r="A14">
        <v>13</v>
      </c>
      <c r="B14" t="s">
        <v>45</v>
      </c>
      <c r="C14" t="s">
        <v>46</v>
      </c>
      <c r="D14" t="s">
        <v>47</v>
      </c>
      <c r="E14" t="s">
        <v>48</v>
      </c>
      <c r="F14" s="4">
        <v>41417</v>
      </c>
      <c r="G14" t="s">
        <v>13</v>
      </c>
      <c r="H14">
        <v>31</v>
      </c>
      <c r="I14" s="5">
        <v>120</v>
      </c>
      <c r="J14">
        <f>IFERROR(SEARCH('Arama Motoru Penceresi'!$H$3,B14),0)</f>
        <v>0</v>
      </c>
      <c r="K14">
        <f>IFERROR(SEARCH('Arama Motoru Penceresi'!$I$3,C14),0)</f>
        <v>2</v>
      </c>
      <c r="L14">
        <f>IFERROR(SEARCH('Arama Motoru Penceresi'!$J$3,E14),0)</f>
        <v>0</v>
      </c>
      <c r="M14">
        <f t="shared" si="0"/>
        <v>0</v>
      </c>
      <c r="N14" t="str">
        <f t="shared" si="1"/>
        <v/>
      </c>
    </row>
    <row r="15" spans="1:14" x14ac:dyDescent="0.3">
      <c r="A15">
        <v>14</v>
      </c>
      <c r="B15" t="s">
        <v>49</v>
      </c>
      <c r="C15" t="s">
        <v>50</v>
      </c>
      <c r="D15" t="s">
        <v>11</v>
      </c>
      <c r="E15" t="s">
        <v>12</v>
      </c>
      <c r="F15" s="4">
        <v>41585</v>
      </c>
      <c r="G15" t="s">
        <v>13</v>
      </c>
      <c r="H15">
        <v>38</v>
      </c>
      <c r="I15" s="5">
        <v>115</v>
      </c>
      <c r="J15">
        <f>IFERROR(SEARCH('Arama Motoru Penceresi'!$H$3,B15),0)</f>
        <v>0</v>
      </c>
      <c r="K15">
        <f>IFERROR(SEARCH('Arama Motoru Penceresi'!$I$3,C15),0)</f>
        <v>0</v>
      </c>
      <c r="L15">
        <f>IFERROR(SEARCH('Arama Motoru Penceresi'!$J$3,E15),0)</f>
        <v>1</v>
      </c>
      <c r="M15">
        <f t="shared" si="0"/>
        <v>0</v>
      </c>
      <c r="N15" t="str">
        <f t="shared" si="1"/>
        <v/>
      </c>
    </row>
    <row r="16" spans="1:14" x14ac:dyDescent="0.3">
      <c r="A16">
        <v>15</v>
      </c>
      <c r="B16" t="s">
        <v>51</v>
      </c>
      <c r="C16" t="s">
        <v>52</v>
      </c>
      <c r="D16" t="s">
        <v>11</v>
      </c>
      <c r="E16" t="s">
        <v>12</v>
      </c>
      <c r="F16" s="4">
        <v>41753</v>
      </c>
      <c r="G16" t="s">
        <v>18</v>
      </c>
      <c r="H16">
        <v>27</v>
      </c>
      <c r="I16" s="5">
        <v>120</v>
      </c>
      <c r="J16">
        <f>IFERROR(SEARCH('Arama Motoru Penceresi'!$H$3,B16),0)</f>
        <v>4</v>
      </c>
      <c r="K16">
        <f>IFERROR(SEARCH('Arama Motoru Penceresi'!$I$3,C16),0)</f>
        <v>2</v>
      </c>
      <c r="L16">
        <f>IFERROR(SEARCH('Arama Motoru Penceresi'!$J$3,E16),0)</f>
        <v>1</v>
      </c>
      <c r="M16">
        <f t="shared" si="0"/>
        <v>8</v>
      </c>
      <c r="N16">
        <f t="shared" si="1"/>
        <v>16</v>
      </c>
    </row>
    <row r="17" spans="1:14" x14ac:dyDescent="0.3">
      <c r="A17">
        <v>16</v>
      </c>
      <c r="B17" t="s">
        <v>53</v>
      </c>
      <c r="C17" t="s">
        <v>54</v>
      </c>
      <c r="D17" t="s">
        <v>16</v>
      </c>
      <c r="E17" t="s">
        <v>55</v>
      </c>
      <c r="F17" s="4">
        <v>41921</v>
      </c>
      <c r="G17" t="s">
        <v>18</v>
      </c>
      <c r="H17">
        <v>36</v>
      </c>
      <c r="I17" s="5">
        <v>130</v>
      </c>
      <c r="J17">
        <f>IFERROR(SEARCH('Arama Motoru Penceresi'!$H$3,B17),0)</f>
        <v>5</v>
      </c>
      <c r="K17">
        <f>IFERROR(SEARCH('Arama Motoru Penceresi'!$I$3,C17),0)</f>
        <v>2</v>
      </c>
      <c r="L17">
        <f>IFERROR(SEARCH('Arama Motoru Penceresi'!$J$3,E17),0)</f>
        <v>0</v>
      </c>
      <c r="M17">
        <f t="shared" si="0"/>
        <v>0</v>
      </c>
      <c r="N17" t="str">
        <f t="shared" si="1"/>
        <v/>
      </c>
    </row>
    <row r="18" spans="1:14" x14ac:dyDescent="0.3">
      <c r="A18">
        <v>17</v>
      </c>
      <c r="B18" t="s">
        <v>56</v>
      </c>
      <c r="C18" t="s">
        <v>57</v>
      </c>
      <c r="D18" t="s">
        <v>21</v>
      </c>
      <c r="E18" t="s">
        <v>58</v>
      </c>
      <c r="F18" s="4">
        <v>42089</v>
      </c>
      <c r="G18" t="s">
        <v>13</v>
      </c>
      <c r="H18">
        <v>28</v>
      </c>
      <c r="I18" s="5">
        <v>149</v>
      </c>
      <c r="J18">
        <f>IFERROR(SEARCH('Arama Motoru Penceresi'!$H$3,B18),0)</f>
        <v>1</v>
      </c>
      <c r="K18">
        <f>IFERROR(SEARCH('Arama Motoru Penceresi'!$I$3,C18),0)</f>
        <v>0</v>
      </c>
      <c r="L18">
        <f>IFERROR(SEARCH('Arama Motoru Penceresi'!$J$3,E18),0)</f>
        <v>0</v>
      </c>
      <c r="M18">
        <f t="shared" si="0"/>
        <v>0</v>
      </c>
      <c r="N18" t="str">
        <f t="shared" si="1"/>
        <v/>
      </c>
    </row>
    <row r="19" spans="1:14" x14ac:dyDescent="0.3">
      <c r="A19">
        <v>18</v>
      </c>
      <c r="B19" t="s">
        <v>59</v>
      </c>
      <c r="C19" t="s">
        <v>60</v>
      </c>
      <c r="D19" t="s">
        <v>11</v>
      </c>
      <c r="E19" t="s">
        <v>12</v>
      </c>
      <c r="F19" s="4">
        <v>42257</v>
      </c>
      <c r="G19" t="s">
        <v>13</v>
      </c>
      <c r="H19">
        <v>34</v>
      </c>
      <c r="I19" s="5">
        <v>150</v>
      </c>
      <c r="J19">
        <f>IFERROR(SEARCH('Arama Motoru Penceresi'!$H$3,B19),0)</f>
        <v>1</v>
      </c>
      <c r="K19">
        <f>IFERROR(SEARCH('Arama Motoru Penceresi'!$I$3,C19),0)</f>
        <v>1</v>
      </c>
      <c r="L19">
        <f>IFERROR(SEARCH('Arama Motoru Penceresi'!$J$3,E19),0)</f>
        <v>1</v>
      </c>
      <c r="M19">
        <f t="shared" si="0"/>
        <v>1</v>
      </c>
      <c r="N19">
        <f t="shared" si="1"/>
        <v>19</v>
      </c>
    </row>
    <row r="20" spans="1:14" x14ac:dyDescent="0.3">
      <c r="A20">
        <v>19</v>
      </c>
      <c r="B20" t="s">
        <v>61</v>
      </c>
      <c r="C20" t="s">
        <v>62</v>
      </c>
      <c r="D20" t="s">
        <v>11</v>
      </c>
      <c r="E20" t="s">
        <v>12</v>
      </c>
      <c r="F20" s="4">
        <v>42425</v>
      </c>
      <c r="G20" t="s">
        <v>18</v>
      </c>
      <c r="H20">
        <v>52</v>
      </c>
      <c r="I20" s="5">
        <v>130</v>
      </c>
      <c r="J20">
        <f>IFERROR(SEARCH('Arama Motoru Penceresi'!$H$3,B20),0)</f>
        <v>2</v>
      </c>
      <c r="K20">
        <f>IFERROR(SEARCH('Arama Motoru Penceresi'!$I$3,C20),0)</f>
        <v>1</v>
      </c>
      <c r="L20">
        <f>IFERROR(SEARCH('Arama Motoru Penceresi'!$J$3,E20),0)</f>
        <v>1</v>
      </c>
      <c r="M20">
        <f t="shared" si="0"/>
        <v>2</v>
      </c>
      <c r="N20">
        <f t="shared" si="1"/>
        <v>20</v>
      </c>
    </row>
    <row r="21" spans="1:14" x14ac:dyDescent="0.3">
      <c r="A21">
        <v>20</v>
      </c>
      <c r="B21" t="s">
        <v>63</v>
      </c>
      <c r="C21" t="s">
        <v>10</v>
      </c>
      <c r="D21" t="s">
        <v>11</v>
      </c>
      <c r="E21" t="s">
        <v>25</v>
      </c>
      <c r="F21" s="4">
        <v>42593</v>
      </c>
      <c r="G21" t="s">
        <v>13</v>
      </c>
      <c r="H21">
        <v>28</v>
      </c>
      <c r="I21" s="5">
        <v>98</v>
      </c>
      <c r="J21">
        <f>IFERROR(SEARCH('Arama Motoru Penceresi'!$H$3,B21),0)</f>
        <v>2</v>
      </c>
      <c r="K21">
        <f>IFERROR(SEARCH('Arama Motoru Penceresi'!$I$3,C21),0)</f>
        <v>2</v>
      </c>
      <c r="L21">
        <f>IFERROR(SEARCH('Arama Motoru Penceresi'!$J$3,E21),0)</f>
        <v>0</v>
      </c>
      <c r="M21">
        <f t="shared" si="0"/>
        <v>0</v>
      </c>
      <c r="N21" t="str">
        <f t="shared" si="1"/>
        <v/>
      </c>
    </row>
    <row r="22" spans="1:14" x14ac:dyDescent="0.3">
      <c r="A22">
        <v>21</v>
      </c>
      <c r="B22" t="s">
        <v>64</v>
      </c>
      <c r="C22" t="s">
        <v>65</v>
      </c>
      <c r="D22" t="s">
        <v>11</v>
      </c>
      <c r="E22" t="s">
        <v>66</v>
      </c>
      <c r="F22" s="4">
        <v>42761</v>
      </c>
      <c r="G22" t="s">
        <v>18</v>
      </c>
      <c r="H22">
        <v>27</v>
      </c>
      <c r="I22" s="5">
        <v>105</v>
      </c>
      <c r="J22">
        <f>IFERROR(SEARCH('Arama Motoru Penceresi'!$H$3,B22),0)</f>
        <v>1</v>
      </c>
      <c r="K22">
        <f>IFERROR(SEARCH('Arama Motoru Penceresi'!$I$3,C22),0)</f>
        <v>2</v>
      </c>
      <c r="L22">
        <f>IFERROR(SEARCH('Arama Motoru Penceresi'!$J$3,E22),0)</f>
        <v>0</v>
      </c>
      <c r="M22">
        <f t="shared" si="0"/>
        <v>0</v>
      </c>
      <c r="N22" t="str">
        <f t="shared" si="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674D-93D2-4875-9FF0-2C54E4EFC361}">
  <dimension ref="A1:J6"/>
  <sheetViews>
    <sheetView workbookViewId="0">
      <selection activeCell="A3" sqref="A3"/>
    </sheetView>
  </sheetViews>
  <sheetFormatPr defaultRowHeight="14.4" x14ac:dyDescent="0.3"/>
  <sheetData>
    <row r="1" spans="1:10" ht="18" x14ac:dyDescent="0.35">
      <c r="H1" s="10" t="s">
        <v>69</v>
      </c>
      <c r="I1" s="10"/>
      <c r="J1" s="10"/>
    </row>
    <row r="2" spans="1:10" ht="18.600000000000001" thickBot="1" x14ac:dyDescent="0.3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H2" s="8" t="s">
        <v>1</v>
      </c>
      <c r="I2" s="8" t="s">
        <v>2</v>
      </c>
      <c r="J2" s="8" t="s">
        <v>4</v>
      </c>
    </row>
    <row r="3" spans="1:10" x14ac:dyDescent="0.3">
      <c r="A3" cm="1">
        <f t="array" ref="A3">IFERROR(INDEX(personel,SMALL('Personel Listesi'!$N:$N,ROW()-2),COLUMN()),"")</f>
        <v>1</v>
      </c>
      <c r="B3" t="str" cm="1">
        <f t="array" ref="B3">IFERROR(INDEX(personel,SMALL('Personel Listesi'!$N:$N,ROW()-2),COLUMN()),"")</f>
        <v xml:space="preserve">Ahmet </v>
      </c>
      <c r="C3" t="str" cm="1">
        <f t="array" ref="C3">IFERROR(INDEX(personel,SMALL('Personel Listesi'!$N:$N,ROW()-2),COLUMN()),"")</f>
        <v>Yavuz</v>
      </c>
      <c r="D3" t="str" cm="1">
        <f t="array" ref="D3">IFERROR(INDEX(personel,SMALL('Personel Listesi'!$N:$N,ROW()-2),COLUMN()),"")</f>
        <v>Üretim</v>
      </c>
      <c r="E3" t="str" cm="1">
        <f t="array" ref="E3">IFERROR(INDEX(personel,SMALL('Personel Listesi'!$N:$N,ROW()-2),COLUMN()),"")</f>
        <v>Montaj</v>
      </c>
      <c r="H3" s="9" t="s">
        <v>70</v>
      </c>
      <c r="I3" s="9" t="s">
        <v>71</v>
      </c>
      <c r="J3" s="9" t="s">
        <v>72</v>
      </c>
    </row>
    <row r="4" spans="1:10" x14ac:dyDescent="0.3">
      <c r="A4" cm="1">
        <f t="array" ref="A4">IFERROR(INDEX(personel,SMALL('Personel Listesi'!$N:$N,ROW()-2),COLUMN()),"")</f>
        <v>15</v>
      </c>
      <c r="B4" t="str" cm="1">
        <f t="array" ref="B4">IFERROR(INDEX(personel,SMALL('Personel Listesi'!$N:$N,ROW()-2),COLUMN()),"")</f>
        <v>Sibel</v>
      </c>
      <c r="C4" t="str" cm="1">
        <f t="array" ref="C4">IFERROR(INDEX(personel,SMALL('Personel Listesi'!$N:$N,ROW()-2),COLUMN()),"")</f>
        <v>Karadağ</v>
      </c>
      <c r="D4" t="str" cm="1">
        <f t="array" ref="D4">IFERROR(INDEX(personel,SMALL('Personel Listesi'!$N:$N,ROW()-2),COLUMN()),"")</f>
        <v>Üretim</v>
      </c>
      <c r="E4" t="str" cm="1">
        <f t="array" ref="E4">IFERROR(INDEX(personel,SMALL('Personel Listesi'!$N:$N,ROW()-2),COLUMN()),"")</f>
        <v>Montaj</v>
      </c>
    </row>
    <row r="5" spans="1:10" x14ac:dyDescent="0.3">
      <c r="A5" cm="1">
        <f t="array" ref="A5">IFERROR(INDEX(personel,SMALL('Personel Listesi'!$N:$N,ROW()-2),COLUMN()),"")</f>
        <v>18</v>
      </c>
      <c r="B5" t="str" cm="1">
        <f t="array" ref="B5">IFERROR(INDEX(personel,SMALL('Personel Listesi'!$N:$N,ROW()-2),COLUMN()),"")</f>
        <v xml:space="preserve">Emre </v>
      </c>
      <c r="C5" t="str" cm="1">
        <f t="array" ref="C5">IFERROR(INDEX(personel,SMALL('Personel Listesi'!$N:$N,ROW()-2),COLUMN()),"")</f>
        <v>Ağmil</v>
      </c>
      <c r="D5" t="str" cm="1">
        <f t="array" ref="D5">IFERROR(INDEX(personel,SMALL('Personel Listesi'!$N:$N,ROW()-2),COLUMN()),"")</f>
        <v>Üretim</v>
      </c>
      <c r="E5" t="str" cm="1">
        <f t="array" ref="E5">IFERROR(INDEX(personel,SMALL('Personel Listesi'!$N:$N,ROW()-2),COLUMN()),"")</f>
        <v>Montaj</v>
      </c>
    </row>
    <row r="6" spans="1:10" x14ac:dyDescent="0.3">
      <c r="A6" cm="1">
        <f t="array" ref="A6">IFERROR(INDEX(personel,SMALL('Personel Listesi'!$N:$N,ROW()-2),COLUMN()),"")</f>
        <v>19</v>
      </c>
      <c r="B6" t="str" cm="1">
        <f t="array" ref="B6">IFERROR(INDEX(personel,SMALL('Personel Listesi'!$N:$N,ROW()-2),COLUMN()),"")</f>
        <v xml:space="preserve">Betül </v>
      </c>
      <c r="C6" t="str" cm="1">
        <f t="array" ref="C6">IFERROR(INDEX(personel,SMALL('Personel Listesi'!$N:$N,ROW()-2),COLUMN()),"")</f>
        <v>Alpaslan</v>
      </c>
      <c r="D6" t="str" cm="1">
        <f t="array" ref="D6">IFERROR(INDEX(personel,SMALL('Personel Listesi'!$N:$N,ROW()-2),COLUMN()),"")</f>
        <v>Üretim</v>
      </c>
      <c r="E6" t="str" cm="1">
        <f t="array" ref="E6">IFERROR(INDEX(personel,SMALL('Personel Listesi'!$N:$N,ROW()-2),COLUMN()),"")</f>
        <v>Montaj</v>
      </c>
    </row>
  </sheetData>
  <mergeCells count="1"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Personel Listesi</vt:lpstr>
      <vt:lpstr>Arama Motoru Penceresi</vt:lpstr>
      <vt:lpstr>personel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Sabit İşler</cp:lastModifiedBy>
  <dcterms:created xsi:type="dcterms:W3CDTF">2021-05-08T11:10:04Z</dcterms:created>
  <dcterms:modified xsi:type="dcterms:W3CDTF">2026-04-29T15:07:58Z</dcterms:modified>
</cp:coreProperties>
</file>